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\Desktop\ProjetoInst\"/>
    </mc:Choice>
  </mc:AlternateContent>
  <xr:revisionPtr revIDLastSave="0" documentId="13_ncr:1_{7FE455C0-8B64-4F0C-8DCA-A9939A1480EF}" xr6:coauthVersionLast="47" xr6:coauthVersionMax="47" xr10:uidLastSave="{00000000-0000-0000-0000-000000000000}"/>
  <bookViews>
    <workbookView xWindow="-108" yWindow="-108" windowWidth="23256" windowHeight="14616" xr2:uid="{FC8BFF02-1340-4B0D-93BC-4DA40CA8516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  <c r="N8" i="1"/>
  <c r="M8" i="1"/>
  <c r="M9" i="1"/>
  <c r="N12" i="1"/>
  <c r="M7" i="1"/>
  <c r="N6" i="1"/>
  <c r="M6" i="1" l="1"/>
  <c r="M10" i="1"/>
  <c r="M11" i="1"/>
  <c r="M12" i="1"/>
  <c r="M5" i="1"/>
  <c r="N11" i="1"/>
  <c r="N10" i="1"/>
  <c r="N9" i="1"/>
  <c r="N5" i="1"/>
  <c r="N4" i="1"/>
</calcChain>
</file>

<file path=xl/sharedStrings.xml><?xml version="1.0" encoding="utf-8"?>
<sst xmlns="http://schemas.openxmlformats.org/spreadsheetml/2006/main" count="13" uniqueCount="7">
  <si>
    <t>Média ADC</t>
  </si>
  <si>
    <t>% de água</t>
  </si>
  <si>
    <t>Peso total</t>
  </si>
  <si>
    <t>Situação do solo</t>
  </si>
  <si>
    <t>Seco</t>
  </si>
  <si>
    <t>Extremamente molhado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</si>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</sst>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>
    <font>
      <sz val="11"/>
      <color theme="1"/>
      <name val="Aptos Narrow"/>
      <family val="2"/>
      <scheme val="minor"/>
    </font>
    <font>
      <sz val="10"/>
      <color rgb="FFDAE3E3"/>
      <name val="Arial Unicode MS"/>
    </font>
    <font>
      <sz val="10"/>
      <color theme="3" tint="0.249977111117893"/>
      <name val="Arial Unicode MS"/>
    </font>
    <font>
      <sz val="10"/>
      <color theme="9"/>
      <name val="Arial Unicode MS"/>
    </font>
    <font>
      <sz val="10"/>
      <color theme="5" tint="-0.249977111117893"/>
      <name val="Arial Unicode MS"/>
    </font>
    <font>
      <sz val="10"/>
      <color theme="8"/>
      <name val="Arial Unicode MS"/>
    </font>
    <font>
      <sz val="10"/>
      <color theme="9" tint="-0.499984740745262"/>
      <name val="Arial Unicode MS"/>
    </font>
    <font>
      <sz val="10"/>
      <color rgb="FFFF0000"/>
      <name val="Arial Unicode MS"/>
    </font>
    <font>
      <sz val="10"/>
      <color rgb="FFFFC000"/>
      <name val="Arial Unicode MS"/>
    </font>
    <font>
      <sz val="10"/>
      <color rgb="FF00B0F0"/>
      <name val="Arial Unicode MS"/>
    </font>
    <font>
      <sz val="11"/>
      <color theme="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/>
    <xf numFmtId="0" fontId="13" fillId="0" borderId="0" xfId="0" applyFont="1"/>
    <xf numFmtId="164" fontId="12" fillId="2" borderId="1" xfId="1" applyNumberFormat="1" applyFont="1" applyFill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Calibração do Sensor</a:t>
            </a:r>
            <a:r>
              <a:rPr lang="pt-BR" baseline="0"/>
              <a:t> de Umidade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1.5560710912422905E-2"/>
                  <c:y val="-0.382757885901021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Planilha1!$M$4:$M$12</c:f>
              <c:numCache>
                <c:formatCode>0.0%</c:formatCode>
                <c:ptCount val="9"/>
                <c:pt idx="0" formatCode="0%">
                  <c:v>0</c:v>
                </c:pt>
                <c:pt idx="1">
                  <c:v>4.4481396799002301E-2</c:v>
                </c:pt>
                <c:pt idx="2">
                  <c:v>0.10850135107046349</c:v>
                </c:pt>
                <c:pt idx="3">
                  <c:v>0.18041987112866348</c:v>
                </c:pt>
                <c:pt idx="4">
                  <c:v>0.2369569736021617</c:v>
                </c:pt>
                <c:pt idx="5">
                  <c:v>0.29390979006443568</c:v>
                </c:pt>
                <c:pt idx="6">
                  <c:v>0.38162544169611307</c:v>
                </c:pt>
                <c:pt idx="7">
                  <c:v>0.44086468509665339</c:v>
                </c:pt>
                <c:pt idx="8">
                  <c:v>0.49719393057576394</c:v>
                </c:pt>
              </c:numCache>
            </c:numRef>
          </c:xVal>
          <c:yVal>
            <c:numRef>
              <c:f>Planilha1!$N$4:$N$12</c:f>
              <c:numCache>
                <c:formatCode>0</c:formatCode>
                <c:ptCount val="9"/>
                <c:pt idx="0">
                  <c:v>3845.4749999999999</c:v>
                </c:pt>
                <c:pt idx="1">
                  <c:v>3395.4250000000002</c:v>
                </c:pt>
                <c:pt idx="2">
                  <c:v>3284.375</c:v>
                </c:pt>
                <c:pt idx="3">
                  <c:v>2794.9</c:v>
                </c:pt>
                <c:pt idx="4">
                  <c:v>1174.45</c:v>
                </c:pt>
                <c:pt idx="5">
                  <c:v>987.97500000000002</c:v>
                </c:pt>
                <c:pt idx="6">
                  <c:v>946.45</c:v>
                </c:pt>
                <c:pt idx="7">
                  <c:v>905.375</c:v>
                </c:pt>
                <c:pt idx="8">
                  <c:v>869.125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66-4108-B515-E1DCF0CD5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276992"/>
        <c:axId val="1137272672"/>
      </c:scatterChart>
      <c:valAx>
        <c:axId val="113727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/>
                  <a:t>Umidade</a:t>
                </a:r>
                <a:r>
                  <a:rPr lang="pt-BR" sz="1100" baseline="0"/>
                  <a:t> Gavimétrica [%]</a:t>
                </a:r>
                <a:endParaRPr lang="pt-BR" sz="1100"/>
              </a:p>
            </c:rich>
          </c:tx>
          <c:layout>
            <c:manualLayout>
              <c:xMode val="edge"/>
              <c:yMode val="edge"/>
              <c:x val="0.39038845802147187"/>
              <c:y val="0.904322555238852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7272672"/>
        <c:crosses val="autoZero"/>
        <c:crossBetween val="midCat"/>
        <c:majorUnit val="5.000000000000001E-2"/>
      </c:valAx>
      <c:valAx>
        <c:axId val="1137272672"/>
        <c:scaling>
          <c:orientation val="minMax"/>
          <c:max val="409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/>
                  <a:t>Leitura ADC</a:t>
                </a:r>
              </a:p>
            </c:rich>
          </c:tx>
          <c:layout>
            <c:manualLayout>
              <c:xMode val="edge"/>
              <c:yMode val="edge"/>
              <c:x val="1.9116213785499523E-2"/>
              <c:y val="0.38113088734638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7276992"/>
        <c:crosses val="autoZero"/>
        <c:crossBetween val="midCat"/>
        <c:majorUnit val="3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94810</xdr:colOff>
      <xdr:row>15</xdr:row>
      <xdr:rowOff>39546</xdr:rowOff>
    </xdr:from>
    <xdr:to>
      <xdr:col>18</xdr:col>
      <xdr:colOff>441430</xdr:colOff>
      <xdr:row>32</xdr:row>
      <xdr:rowOff>167010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D1DC8B-321F-DCB0-7B17-E7DBD5104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6F80A-2EE3-4A91-8017-C6C7BDB2CF11}">
  <dimension ref="A2:X49"/>
  <sheetViews>
    <sheetView tabSelected="1" topLeftCell="E1" zoomScale="115" zoomScaleNormal="115" workbookViewId="0">
      <selection activeCell="L11" sqref="L11"/>
    </sheetView>
  </sheetViews>
  <sheetFormatPr defaultRowHeight="14.4"/>
  <cols>
    <col min="12" max="12" width="9.88671875" customWidth="1"/>
    <col min="13" max="13" width="11.6640625" customWidth="1"/>
    <col min="14" max="14" width="12.44140625" customWidth="1"/>
    <col min="15" max="15" width="20.33203125" bestFit="1" customWidth="1"/>
    <col min="16" max="16" width="8.88671875" customWidth="1"/>
  </cols>
  <sheetData>
    <row r="2" spans="1:24">
      <c r="K2" s="14"/>
      <c r="L2" s="15"/>
      <c r="M2" s="15"/>
      <c r="N2" s="15"/>
      <c r="O2" s="15"/>
      <c r="P2" s="14"/>
    </row>
    <row r="3" spans="1:24">
      <c r="A3" s="1"/>
      <c r="K3" s="14"/>
      <c r="L3" s="16" t="s">
        <v>2</v>
      </c>
      <c r="M3" s="16" t="s">
        <v>1</v>
      </c>
      <c r="N3" s="16" t="s">
        <v>0</v>
      </c>
      <c r="O3" s="16" t="s">
        <v>3</v>
      </c>
      <c r="P3" s="14"/>
    </row>
    <row r="4" spans="1:24">
      <c r="A4" s="7">
        <v>3844</v>
      </c>
      <c r="B4" s="2">
        <v>3406</v>
      </c>
      <c r="C4" s="3">
        <v>3278</v>
      </c>
      <c r="D4" s="10">
        <v>2808</v>
      </c>
      <c r="E4" s="5">
        <v>1169</v>
      </c>
      <c r="F4" s="6">
        <v>977</v>
      </c>
      <c r="G4" s="8">
        <v>938</v>
      </c>
      <c r="H4" s="9">
        <v>898</v>
      </c>
      <c r="I4" s="7">
        <v>854</v>
      </c>
      <c r="K4" s="14"/>
      <c r="L4" s="16">
        <v>48.11</v>
      </c>
      <c r="M4" s="17">
        <v>0</v>
      </c>
      <c r="N4" s="18">
        <f>AVERAGE(A4:A43)</f>
        <v>3845.4749999999999</v>
      </c>
      <c r="O4" s="16" t="s">
        <v>4</v>
      </c>
      <c r="P4" s="14"/>
    </row>
    <row r="5" spans="1:24">
      <c r="A5" s="7">
        <v>3845</v>
      </c>
      <c r="B5" s="2">
        <v>3407</v>
      </c>
      <c r="C5" s="3">
        <v>3281</v>
      </c>
      <c r="D5" s="10">
        <v>2808</v>
      </c>
      <c r="E5" s="5">
        <v>1175</v>
      </c>
      <c r="F5" s="6">
        <v>980</v>
      </c>
      <c r="G5" s="8">
        <v>938</v>
      </c>
      <c r="H5" s="9">
        <v>898</v>
      </c>
      <c r="I5" s="7">
        <v>854</v>
      </c>
      <c r="K5" s="14"/>
      <c r="L5" s="16">
        <v>50.25</v>
      </c>
      <c r="M5" s="19">
        <f>(L5-$L$4)/$L$4</f>
        <v>4.4481396799002301E-2</v>
      </c>
      <c r="N5" s="18">
        <f>AVERAGE(B4:B43)</f>
        <v>3395.4250000000002</v>
      </c>
      <c r="O5" s="16" t="s">
        <v>6</v>
      </c>
      <c r="P5" s="14"/>
    </row>
    <row r="6" spans="1:24">
      <c r="A6" s="7">
        <v>3847</v>
      </c>
      <c r="B6" s="2">
        <v>3405</v>
      </c>
      <c r="C6" s="3">
        <v>3283</v>
      </c>
      <c r="D6" s="10">
        <v>2808</v>
      </c>
      <c r="E6" s="5">
        <v>1180</v>
      </c>
      <c r="F6" s="6">
        <v>982</v>
      </c>
      <c r="G6" s="8">
        <v>938</v>
      </c>
      <c r="H6" s="9">
        <v>898</v>
      </c>
      <c r="I6" s="7">
        <v>856</v>
      </c>
      <c r="K6" s="14"/>
      <c r="L6" s="16">
        <v>53.33</v>
      </c>
      <c r="M6" s="19">
        <f>(L6-$L$4)/$L$4</f>
        <v>0.10850135107046349</v>
      </c>
      <c r="N6" s="18">
        <f>AVERAGE(C4:C43)</f>
        <v>3284.375</v>
      </c>
      <c r="O6" s="16" t="s">
        <v>6</v>
      </c>
      <c r="P6" s="14"/>
    </row>
    <row r="7" spans="1:24">
      <c r="A7" s="7">
        <v>3845</v>
      </c>
      <c r="B7" s="2">
        <v>3403</v>
      </c>
      <c r="C7" s="3">
        <v>3284</v>
      </c>
      <c r="D7" s="10">
        <v>2805</v>
      </c>
      <c r="E7" s="5">
        <v>1188</v>
      </c>
      <c r="F7" s="6">
        <v>985</v>
      </c>
      <c r="G7" s="8">
        <v>940</v>
      </c>
      <c r="H7" s="9">
        <v>898</v>
      </c>
      <c r="I7" s="7">
        <v>857</v>
      </c>
      <c r="K7" s="14"/>
      <c r="L7" s="16">
        <v>56.79</v>
      </c>
      <c r="M7" s="19">
        <f>(L7-$L$4)/$L$4</f>
        <v>0.18041987112866348</v>
      </c>
      <c r="N7" s="18">
        <f>AVERAGE(D4:D43)</f>
        <v>2794.9</v>
      </c>
      <c r="O7" s="16" t="s">
        <v>6</v>
      </c>
      <c r="P7" s="14"/>
    </row>
    <row r="8" spans="1:24">
      <c r="A8" s="7">
        <v>3845</v>
      </c>
      <c r="B8" s="2">
        <v>3401</v>
      </c>
      <c r="C8" s="3">
        <v>3282</v>
      </c>
      <c r="D8" s="10">
        <v>2808</v>
      </c>
      <c r="E8" s="5">
        <v>1192</v>
      </c>
      <c r="F8" s="6">
        <v>987</v>
      </c>
      <c r="G8" s="8">
        <v>941</v>
      </c>
      <c r="H8" s="9">
        <v>899</v>
      </c>
      <c r="I8" s="7">
        <v>858</v>
      </c>
      <c r="K8" s="14"/>
      <c r="L8" s="16">
        <v>59.51</v>
      </c>
      <c r="M8" s="19">
        <f>(L8-$L$4)/$L$4</f>
        <v>0.2369569736021617</v>
      </c>
      <c r="N8" s="18">
        <f>AVERAGE(E4:E43)</f>
        <v>1174.45</v>
      </c>
      <c r="O8" s="16" t="s">
        <v>6</v>
      </c>
      <c r="P8" s="14"/>
    </row>
    <row r="9" spans="1:24">
      <c r="A9" s="7">
        <v>3848</v>
      </c>
      <c r="B9" s="2">
        <v>3401</v>
      </c>
      <c r="C9" s="3">
        <v>3283</v>
      </c>
      <c r="D9" s="10">
        <v>2805</v>
      </c>
      <c r="E9" s="5">
        <v>1190</v>
      </c>
      <c r="F9" s="6">
        <v>989</v>
      </c>
      <c r="G9" s="8">
        <v>942</v>
      </c>
      <c r="H9" s="9">
        <v>899</v>
      </c>
      <c r="I9" s="7">
        <v>860</v>
      </c>
      <c r="K9" s="14"/>
      <c r="L9" s="16">
        <v>62.25</v>
      </c>
      <c r="M9" s="19">
        <f>(L9-$L$4)/$L$4</f>
        <v>0.29390979006443568</v>
      </c>
      <c r="N9" s="18">
        <f>AVERAGE(F4:F43)</f>
        <v>987.97500000000002</v>
      </c>
      <c r="O9" s="16" t="s">
        <v>6</v>
      </c>
      <c r="P9" s="14"/>
    </row>
    <row r="10" spans="1:24">
      <c r="A10" s="7">
        <v>3846</v>
      </c>
      <c r="B10" s="2">
        <v>3399</v>
      </c>
      <c r="C10" s="3">
        <v>3282</v>
      </c>
      <c r="D10" s="10">
        <v>2805</v>
      </c>
      <c r="E10" s="5">
        <v>1184</v>
      </c>
      <c r="F10" s="6">
        <v>989</v>
      </c>
      <c r="G10" s="8">
        <v>943</v>
      </c>
      <c r="H10" s="9">
        <v>899</v>
      </c>
      <c r="I10" s="7">
        <v>861</v>
      </c>
      <c r="K10" s="14"/>
      <c r="L10" s="16">
        <v>66.47</v>
      </c>
      <c r="M10" s="12">
        <f>(L10-$L$4)/$L$4</f>
        <v>0.38162544169611307</v>
      </c>
      <c r="N10" s="13">
        <f>AVERAGE(G4:G43)</f>
        <v>946.45</v>
      </c>
      <c r="O10" s="16" t="s">
        <v>6</v>
      </c>
      <c r="P10" s="14"/>
      <c r="U10" s="4"/>
      <c r="X10" s="5"/>
    </row>
    <row r="11" spans="1:24">
      <c r="A11" s="7">
        <v>3846</v>
      </c>
      <c r="B11" s="2">
        <v>3397</v>
      </c>
      <c r="C11" s="3">
        <v>3280</v>
      </c>
      <c r="D11" s="10">
        <v>2803</v>
      </c>
      <c r="E11" s="5">
        <v>1187</v>
      </c>
      <c r="F11" s="6">
        <v>990</v>
      </c>
      <c r="G11" s="8">
        <v>945</v>
      </c>
      <c r="H11" s="9">
        <v>899</v>
      </c>
      <c r="I11" s="7">
        <v>861</v>
      </c>
      <c r="K11" s="14"/>
      <c r="L11" s="16">
        <v>69.319999999999993</v>
      </c>
      <c r="M11" s="19">
        <f>(L11-$L$4)/$L$4</f>
        <v>0.44086468509665339</v>
      </c>
      <c r="N11" s="18">
        <f>AVERAGE(H4:H43)</f>
        <v>905.375</v>
      </c>
      <c r="O11" s="16" t="s">
        <v>5</v>
      </c>
      <c r="P11" s="14"/>
      <c r="S11" s="11"/>
      <c r="U11" s="4"/>
      <c r="X11" s="5"/>
    </row>
    <row r="12" spans="1:24">
      <c r="A12" s="7">
        <v>3848</v>
      </c>
      <c r="B12" s="2">
        <v>3397</v>
      </c>
      <c r="C12" s="3">
        <v>3286</v>
      </c>
      <c r="D12" s="10">
        <v>2801</v>
      </c>
      <c r="E12" s="5">
        <v>1181</v>
      </c>
      <c r="F12" s="6">
        <v>990</v>
      </c>
      <c r="G12" s="8">
        <v>945</v>
      </c>
      <c r="H12" s="9">
        <v>899</v>
      </c>
      <c r="I12" s="7">
        <v>864</v>
      </c>
      <c r="K12" s="14"/>
      <c r="L12" s="16">
        <v>72.03</v>
      </c>
      <c r="M12" s="19">
        <f>(L12-$L$4)/$L$4</f>
        <v>0.49719393057576394</v>
      </c>
      <c r="N12" s="18">
        <f>AVERAGE(I4:I43)</f>
        <v>869.125</v>
      </c>
      <c r="O12" s="16" t="s">
        <v>5</v>
      </c>
      <c r="P12" s="14"/>
      <c r="U12" s="4"/>
      <c r="X12" s="5"/>
    </row>
    <row r="13" spans="1:24">
      <c r="A13" s="7">
        <v>3850</v>
      </c>
      <c r="B13" s="2">
        <v>3396</v>
      </c>
      <c r="C13" s="3">
        <v>3284</v>
      </c>
      <c r="D13" s="10">
        <v>2799</v>
      </c>
      <c r="E13" s="5">
        <v>1178</v>
      </c>
      <c r="F13" s="6">
        <v>993</v>
      </c>
      <c r="G13" s="8">
        <v>947</v>
      </c>
      <c r="H13" s="9">
        <v>900</v>
      </c>
      <c r="I13" s="7">
        <v>865</v>
      </c>
      <c r="K13" s="14"/>
      <c r="L13" s="14"/>
      <c r="M13" s="14"/>
      <c r="N13" s="14"/>
      <c r="O13" s="14"/>
      <c r="P13" s="14"/>
      <c r="U13" s="4"/>
      <c r="X13" s="5"/>
    </row>
    <row r="14" spans="1:24">
      <c r="A14" s="7">
        <v>3848</v>
      </c>
      <c r="B14" s="2">
        <v>3397</v>
      </c>
      <c r="C14" s="3">
        <v>3285</v>
      </c>
      <c r="D14" s="10">
        <v>2800</v>
      </c>
      <c r="E14" s="5">
        <v>1174</v>
      </c>
      <c r="F14" s="6">
        <v>994</v>
      </c>
      <c r="G14" s="8">
        <v>948</v>
      </c>
      <c r="H14" s="9">
        <v>901</v>
      </c>
      <c r="I14" s="7">
        <v>865</v>
      </c>
      <c r="K14" s="14"/>
      <c r="L14" s="14"/>
      <c r="M14" s="14"/>
      <c r="N14" s="14"/>
      <c r="O14" s="14"/>
      <c r="P14" s="14"/>
      <c r="U14" s="4"/>
      <c r="X14" s="5"/>
    </row>
    <row r="15" spans="1:24">
      <c r="A15" s="7">
        <v>3849</v>
      </c>
      <c r="B15" s="2">
        <v>3396</v>
      </c>
      <c r="C15" s="3">
        <v>3287</v>
      </c>
      <c r="D15" s="10">
        <v>2799</v>
      </c>
      <c r="E15" s="5">
        <v>1169</v>
      </c>
      <c r="F15" s="6">
        <v>994</v>
      </c>
      <c r="G15" s="8">
        <v>951</v>
      </c>
      <c r="H15" s="9">
        <v>901</v>
      </c>
      <c r="I15" s="7">
        <v>867</v>
      </c>
      <c r="U15" s="4"/>
      <c r="X15" s="5"/>
    </row>
    <row r="16" spans="1:24">
      <c r="A16" s="7">
        <v>3850</v>
      </c>
      <c r="B16" s="2">
        <v>3395</v>
      </c>
      <c r="C16" s="3">
        <v>3288</v>
      </c>
      <c r="D16" s="10">
        <v>2798</v>
      </c>
      <c r="E16" s="5">
        <v>1170</v>
      </c>
      <c r="F16" s="6">
        <v>993</v>
      </c>
      <c r="G16" s="8">
        <v>952</v>
      </c>
      <c r="H16" s="9">
        <v>902</v>
      </c>
      <c r="I16" s="7">
        <v>869</v>
      </c>
      <c r="U16" s="4"/>
      <c r="X16" s="5"/>
    </row>
    <row r="17" spans="1:24">
      <c r="A17" s="7">
        <v>3851</v>
      </c>
      <c r="B17" s="2">
        <v>3396</v>
      </c>
      <c r="C17" s="3">
        <v>3289</v>
      </c>
      <c r="D17" s="10">
        <v>2797</v>
      </c>
      <c r="E17" s="5">
        <v>1170</v>
      </c>
      <c r="F17" s="6">
        <v>989</v>
      </c>
      <c r="G17" s="8">
        <v>953</v>
      </c>
      <c r="H17" s="9">
        <v>901</v>
      </c>
      <c r="I17" s="7">
        <v>870</v>
      </c>
      <c r="U17" s="4"/>
      <c r="X17" s="5"/>
    </row>
    <row r="18" spans="1:24">
      <c r="A18" s="7">
        <v>3850</v>
      </c>
      <c r="B18" s="2">
        <v>3395</v>
      </c>
      <c r="C18" s="3">
        <v>3290</v>
      </c>
      <c r="D18" s="10">
        <v>2797</v>
      </c>
      <c r="E18" s="5">
        <v>1168</v>
      </c>
      <c r="F18" s="6">
        <v>985</v>
      </c>
      <c r="G18" s="8">
        <v>953</v>
      </c>
      <c r="H18" s="9">
        <v>904</v>
      </c>
      <c r="I18" s="7">
        <v>872</v>
      </c>
      <c r="U18" s="4"/>
      <c r="X18" s="5"/>
    </row>
    <row r="19" spans="1:24">
      <c r="A19" s="7">
        <v>3853</v>
      </c>
      <c r="B19" s="2">
        <v>3394</v>
      </c>
      <c r="C19" s="3">
        <v>3290</v>
      </c>
      <c r="D19" s="10">
        <v>2794</v>
      </c>
      <c r="E19" s="5">
        <v>1168</v>
      </c>
      <c r="F19" s="6">
        <v>983</v>
      </c>
      <c r="G19" s="8">
        <v>953</v>
      </c>
      <c r="H19" s="9">
        <v>904</v>
      </c>
      <c r="I19" s="7">
        <v>873</v>
      </c>
      <c r="U19" s="4"/>
      <c r="X19" s="5"/>
    </row>
    <row r="20" spans="1:24">
      <c r="A20" s="7">
        <v>3848</v>
      </c>
      <c r="B20" s="2">
        <v>3396</v>
      </c>
      <c r="C20" s="3">
        <v>3291</v>
      </c>
      <c r="D20" s="10">
        <v>2794</v>
      </c>
      <c r="E20" s="5">
        <v>1170</v>
      </c>
      <c r="F20" s="6">
        <v>986</v>
      </c>
      <c r="G20" s="8">
        <v>948</v>
      </c>
      <c r="H20" s="9">
        <v>905</v>
      </c>
      <c r="I20" s="7">
        <v>872</v>
      </c>
      <c r="U20" s="4"/>
      <c r="X20" s="5"/>
    </row>
    <row r="21" spans="1:24">
      <c r="A21" s="7">
        <v>3846</v>
      </c>
      <c r="B21" s="2">
        <v>3395</v>
      </c>
      <c r="C21" s="3">
        <v>3290</v>
      </c>
      <c r="D21" s="10">
        <v>2794</v>
      </c>
      <c r="E21" s="5">
        <v>1173</v>
      </c>
      <c r="F21" s="6">
        <v>981</v>
      </c>
      <c r="G21" s="8">
        <v>946</v>
      </c>
      <c r="H21" s="9">
        <v>906</v>
      </c>
      <c r="I21" s="7">
        <v>871</v>
      </c>
      <c r="U21" s="4"/>
      <c r="X21" s="5"/>
    </row>
    <row r="22" spans="1:24">
      <c r="A22" s="7">
        <v>3849</v>
      </c>
      <c r="B22" s="2">
        <v>3394</v>
      </c>
      <c r="C22" s="3">
        <v>3290</v>
      </c>
      <c r="D22" s="10">
        <v>2794</v>
      </c>
      <c r="E22" s="5">
        <v>1176</v>
      </c>
      <c r="F22" s="6">
        <v>985</v>
      </c>
      <c r="G22" s="8">
        <v>947</v>
      </c>
      <c r="H22" s="9">
        <v>906</v>
      </c>
      <c r="I22" s="7">
        <v>873</v>
      </c>
      <c r="U22" s="4"/>
      <c r="X22" s="5"/>
    </row>
    <row r="23" spans="1:24">
      <c r="A23" s="7">
        <v>3848</v>
      </c>
      <c r="B23" s="2">
        <v>3396</v>
      </c>
      <c r="C23" s="3">
        <v>3290</v>
      </c>
      <c r="D23" s="10">
        <v>2795</v>
      </c>
      <c r="E23" s="5">
        <v>1176</v>
      </c>
      <c r="F23" s="6">
        <v>981</v>
      </c>
      <c r="G23" s="8">
        <v>948</v>
      </c>
      <c r="H23" s="9">
        <v>907</v>
      </c>
      <c r="I23" s="7">
        <v>873</v>
      </c>
      <c r="U23" s="4"/>
      <c r="X23" s="5"/>
    </row>
    <row r="24" spans="1:24">
      <c r="A24" s="7">
        <v>3850</v>
      </c>
      <c r="B24" s="2">
        <v>3396</v>
      </c>
      <c r="C24" s="3">
        <v>3291</v>
      </c>
      <c r="D24" s="10">
        <v>2794</v>
      </c>
      <c r="E24" s="5">
        <v>1175</v>
      </c>
      <c r="F24" s="6">
        <v>982</v>
      </c>
      <c r="G24" s="8">
        <v>948</v>
      </c>
      <c r="H24" s="9">
        <v>908</v>
      </c>
      <c r="I24" s="7">
        <v>874</v>
      </c>
      <c r="U24" s="4"/>
      <c r="X24" s="5"/>
    </row>
    <row r="25" spans="1:24">
      <c r="A25" s="7">
        <v>3848</v>
      </c>
      <c r="B25" s="2">
        <v>3396</v>
      </c>
      <c r="C25" s="3">
        <v>3291</v>
      </c>
      <c r="D25" s="10">
        <v>2794</v>
      </c>
      <c r="E25" s="5">
        <v>1173</v>
      </c>
      <c r="F25" s="6">
        <v>982</v>
      </c>
      <c r="G25" s="8">
        <v>949</v>
      </c>
      <c r="H25" s="9">
        <v>907</v>
      </c>
      <c r="I25" s="7">
        <v>874</v>
      </c>
      <c r="U25" s="4"/>
      <c r="X25" s="5"/>
    </row>
    <row r="26" spans="1:24">
      <c r="A26" s="7">
        <v>3846</v>
      </c>
      <c r="B26" s="2">
        <v>3395</v>
      </c>
      <c r="C26" s="3">
        <v>3289</v>
      </c>
      <c r="D26" s="10">
        <v>2794</v>
      </c>
      <c r="E26" s="5">
        <v>1171</v>
      </c>
      <c r="F26" s="6">
        <v>982</v>
      </c>
      <c r="G26" s="8">
        <v>945</v>
      </c>
      <c r="H26" s="9">
        <v>909</v>
      </c>
      <c r="I26" s="7">
        <v>876</v>
      </c>
      <c r="U26" s="4"/>
      <c r="X26" s="5"/>
    </row>
    <row r="27" spans="1:24">
      <c r="A27" s="7">
        <v>3846</v>
      </c>
      <c r="B27" s="2">
        <v>3395</v>
      </c>
      <c r="C27" s="3">
        <v>3288</v>
      </c>
      <c r="D27" s="10">
        <v>2793</v>
      </c>
      <c r="E27" s="5">
        <v>1171</v>
      </c>
      <c r="F27" s="6">
        <v>984</v>
      </c>
      <c r="G27" s="8">
        <v>952</v>
      </c>
      <c r="H27" s="9">
        <v>909</v>
      </c>
      <c r="I27" s="7">
        <v>876</v>
      </c>
      <c r="U27" s="4"/>
      <c r="X27" s="5"/>
    </row>
    <row r="28" spans="1:24">
      <c r="A28" s="7">
        <v>3846</v>
      </c>
      <c r="B28" s="2">
        <v>3395</v>
      </c>
      <c r="C28" s="3">
        <v>3285</v>
      </c>
      <c r="D28" s="10">
        <v>2793</v>
      </c>
      <c r="E28" s="5">
        <v>1172</v>
      </c>
      <c r="F28" s="6">
        <v>985</v>
      </c>
      <c r="G28" s="8">
        <v>955</v>
      </c>
      <c r="H28" s="9">
        <v>908</v>
      </c>
      <c r="I28" s="7">
        <v>876</v>
      </c>
      <c r="U28" s="4"/>
      <c r="X28" s="5"/>
    </row>
    <row r="29" spans="1:24">
      <c r="A29" s="7">
        <v>3844</v>
      </c>
      <c r="B29" s="2">
        <v>3393</v>
      </c>
      <c r="C29" s="3">
        <v>3285</v>
      </c>
      <c r="D29" s="10">
        <v>2793</v>
      </c>
      <c r="E29" s="5">
        <v>1173</v>
      </c>
      <c r="F29" s="6">
        <v>986</v>
      </c>
      <c r="G29" s="8">
        <v>955</v>
      </c>
      <c r="H29" s="9">
        <v>907</v>
      </c>
      <c r="I29" s="7">
        <v>873</v>
      </c>
      <c r="U29" s="4"/>
      <c r="X29" s="5"/>
    </row>
    <row r="30" spans="1:24">
      <c r="A30" s="7">
        <v>3840</v>
      </c>
      <c r="B30" s="2">
        <v>3393</v>
      </c>
      <c r="C30" s="3">
        <v>3281</v>
      </c>
      <c r="D30" s="10">
        <v>2793</v>
      </c>
      <c r="E30" s="5">
        <v>1164</v>
      </c>
      <c r="F30" s="6">
        <v>986</v>
      </c>
      <c r="G30" s="8">
        <v>949</v>
      </c>
      <c r="H30" s="9">
        <v>908</v>
      </c>
      <c r="I30" s="7">
        <v>876</v>
      </c>
      <c r="U30" s="4"/>
      <c r="X30" s="5"/>
    </row>
    <row r="31" spans="1:24">
      <c r="A31" s="7">
        <v>3837</v>
      </c>
      <c r="B31" s="2">
        <v>3393</v>
      </c>
      <c r="C31" s="3">
        <v>3280</v>
      </c>
      <c r="D31" s="10">
        <v>2792</v>
      </c>
      <c r="E31" s="5">
        <v>1166</v>
      </c>
      <c r="F31" s="6">
        <v>987</v>
      </c>
      <c r="G31" s="8">
        <v>950</v>
      </c>
      <c r="H31" s="9">
        <v>908</v>
      </c>
      <c r="I31" s="7">
        <v>856</v>
      </c>
      <c r="U31" s="4"/>
      <c r="X31" s="5"/>
    </row>
    <row r="32" spans="1:24">
      <c r="A32" s="7">
        <v>3842</v>
      </c>
      <c r="B32" s="2">
        <v>3393</v>
      </c>
      <c r="C32" s="3">
        <v>3281</v>
      </c>
      <c r="D32" s="10">
        <v>2790</v>
      </c>
      <c r="E32" s="5">
        <v>1166</v>
      </c>
      <c r="F32" s="6">
        <v>986</v>
      </c>
      <c r="G32" s="8">
        <v>950</v>
      </c>
      <c r="H32" s="9">
        <v>908</v>
      </c>
      <c r="I32" s="7">
        <v>853</v>
      </c>
      <c r="U32" s="4"/>
      <c r="X32" s="5"/>
    </row>
    <row r="33" spans="1:24">
      <c r="A33" s="7">
        <v>3841</v>
      </c>
      <c r="B33" s="2">
        <v>3393</v>
      </c>
      <c r="C33" s="3">
        <v>3281</v>
      </c>
      <c r="D33" s="10">
        <v>2789</v>
      </c>
      <c r="E33" s="5">
        <v>1168</v>
      </c>
      <c r="F33" s="6">
        <v>990</v>
      </c>
      <c r="G33" s="8">
        <v>949</v>
      </c>
      <c r="H33" s="9">
        <v>909</v>
      </c>
      <c r="I33" s="7">
        <v>864</v>
      </c>
      <c r="U33" s="4"/>
      <c r="X33" s="5"/>
    </row>
    <row r="34" spans="1:24">
      <c r="A34" s="7">
        <v>3843</v>
      </c>
      <c r="B34" s="2">
        <v>3392</v>
      </c>
      <c r="C34" s="3">
        <v>3281</v>
      </c>
      <c r="D34" s="10">
        <v>2789</v>
      </c>
      <c r="E34" s="5">
        <v>1171</v>
      </c>
      <c r="F34" s="6">
        <v>992</v>
      </c>
      <c r="G34" s="8">
        <v>947</v>
      </c>
      <c r="H34" s="9">
        <v>909</v>
      </c>
      <c r="I34" s="7">
        <v>875</v>
      </c>
      <c r="U34" s="4"/>
      <c r="X34" s="5"/>
    </row>
    <row r="35" spans="1:24">
      <c r="A35" s="7">
        <v>3842</v>
      </c>
      <c r="B35" s="2">
        <v>3393</v>
      </c>
      <c r="C35" s="3">
        <v>3282</v>
      </c>
      <c r="D35" s="10">
        <v>2788</v>
      </c>
      <c r="E35" s="5">
        <v>1173</v>
      </c>
      <c r="F35" s="6">
        <v>990</v>
      </c>
      <c r="G35" s="8">
        <v>947</v>
      </c>
      <c r="H35" s="9">
        <v>909</v>
      </c>
      <c r="I35" s="7">
        <v>872</v>
      </c>
      <c r="U35" s="4"/>
      <c r="X35" s="5"/>
    </row>
    <row r="36" spans="1:24">
      <c r="A36" s="7">
        <v>3844</v>
      </c>
      <c r="B36" s="2">
        <v>3392</v>
      </c>
      <c r="C36" s="3">
        <v>3280</v>
      </c>
      <c r="D36" s="10">
        <v>2787</v>
      </c>
      <c r="E36" s="5">
        <v>1176</v>
      </c>
      <c r="F36" s="6">
        <v>989</v>
      </c>
      <c r="G36" s="8">
        <v>947</v>
      </c>
      <c r="H36" s="9">
        <v>910</v>
      </c>
      <c r="I36" s="7">
        <v>876</v>
      </c>
      <c r="U36" s="4"/>
      <c r="X36" s="5"/>
    </row>
    <row r="37" spans="1:24">
      <c r="A37" s="7">
        <v>3844</v>
      </c>
      <c r="B37" s="2">
        <v>3392</v>
      </c>
      <c r="C37" s="3">
        <v>3281</v>
      </c>
      <c r="D37" s="10">
        <v>2787</v>
      </c>
      <c r="E37" s="5">
        <v>1173</v>
      </c>
      <c r="F37" s="6">
        <v>990</v>
      </c>
      <c r="G37" s="8">
        <v>947</v>
      </c>
      <c r="H37" s="9">
        <v>910</v>
      </c>
      <c r="I37" s="7">
        <v>881</v>
      </c>
      <c r="U37" s="4"/>
      <c r="X37" s="5"/>
    </row>
    <row r="38" spans="1:24">
      <c r="A38" s="7">
        <v>3844</v>
      </c>
      <c r="B38" s="2">
        <v>3390</v>
      </c>
      <c r="C38" s="3">
        <v>3281</v>
      </c>
      <c r="D38" s="10">
        <v>2785</v>
      </c>
      <c r="E38" s="5">
        <v>1172</v>
      </c>
      <c r="F38" s="6">
        <v>992</v>
      </c>
      <c r="G38" s="8">
        <v>946</v>
      </c>
      <c r="H38" s="9">
        <v>912</v>
      </c>
      <c r="I38" s="7">
        <v>883</v>
      </c>
      <c r="U38" s="4"/>
      <c r="X38" s="5"/>
    </row>
    <row r="39" spans="1:24">
      <c r="A39" s="7">
        <v>3843</v>
      </c>
      <c r="B39" s="2">
        <v>3392</v>
      </c>
      <c r="C39" s="3">
        <v>3281</v>
      </c>
      <c r="D39" s="10">
        <v>2786</v>
      </c>
      <c r="E39" s="5">
        <v>1173</v>
      </c>
      <c r="F39" s="6">
        <v>996</v>
      </c>
      <c r="G39" s="8">
        <v>945</v>
      </c>
      <c r="H39" s="9">
        <v>913</v>
      </c>
      <c r="I39" s="7">
        <v>876</v>
      </c>
      <c r="U39" s="4"/>
      <c r="X39" s="5"/>
    </row>
    <row r="40" spans="1:24">
      <c r="A40" s="7">
        <v>3842</v>
      </c>
      <c r="B40" s="2">
        <v>3390</v>
      </c>
      <c r="C40" s="3">
        <v>3281</v>
      </c>
      <c r="D40" s="10">
        <v>2784</v>
      </c>
      <c r="E40" s="5">
        <v>1174</v>
      </c>
      <c r="F40" s="6">
        <v>998</v>
      </c>
      <c r="G40" s="8">
        <v>942</v>
      </c>
      <c r="H40" s="9">
        <v>911</v>
      </c>
      <c r="I40" s="7">
        <v>872</v>
      </c>
      <c r="U40" s="4"/>
      <c r="X40" s="5"/>
    </row>
    <row r="41" spans="1:24">
      <c r="A41" s="7">
        <v>3840</v>
      </c>
      <c r="B41" s="2">
        <v>3390</v>
      </c>
      <c r="C41" s="3">
        <v>3281</v>
      </c>
      <c r="D41" s="10">
        <v>2784</v>
      </c>
      <c r="E41" s="5">
        <v>1176</v>
      </c>
      <c r="F41" s="6">
        <v>996</v>
      </c>
      <c r="G41" s="8">
        <v>941</v>
      </c>
      <c r="H41" s="9">
        <v>913</v>
      </c>
      <c r="I41" s="7">
        <v>873</v>
      </c>
      <c r="U41" s="4"/>
      <c r="X41" s="5"/>
    </row>
    <row r="42" spans="1:24">
      <c r="A42" s="7">
        <v>3840</v>
      </c>
      <c r="B42" s="2">
        <v>3390</v>
      </c>
      <c r="C42" s="3">
        <v>3281</v>
      </c>
      <c r="D42" s="10">
        <v>2784</v>
      </c>
      <c r="E42" s="5">
        <v>1177</v>
      </c>
      <c r="F42" s="6">
        <v>996</v>
      </c>
      <c r="G42" s="8">
        <v>940</v>
      </c>
      <c r="H42" s="9">
        <v>911</v>
      </c>
      <c r="I42" s="7">
        <v>881</v>
      </c>
      <c r="U42" s="4"/>
      <c r="X42" s="5"/>
    </row>
    <row r="43" spans="1:24">
      <c r="A43" s="7">
        <v>3841</v>
      </c>
      <c r="B43" s="2">
        <v>3388</v>
      </c>
      <c r="C43" s="3">
        <v>3281</v>
      </c>
      <c r="D43" s="10">
        <v>2785</v>
      </c>
      <c r="E43" s="5">
        <v>1176</v>
      </c>
      <c r="F43" s="6">
        <v>997</v>
      </c>
      <c r="G43" s="8">
        <v>938</v>
      </c>
      <c r="H43" s="9">
        <v>912</v>
      </c>
      <c r="I43" s="7">
        <v>883</v>
      </c>
      <c r="U43" s="4"/>
      <c r="X43" s="5"/>
    </row>
    <row r="44" spans="1:24">
      <c r="U44" s="4"/>
      <c r="X44" s="5"/>
    </row>
    <row r="45" spans="1:24">
      <c r="G45" s="8"/>
      <c r="U45" s="4"/>
      <c r="X45" s="5"/>
    </row>
    <row r="46" spans="1:24">
      <c r="U46" s="4"/>
      <c r="X46" s="5"/>
    </row>
    <row r="47" spans="1:24">
      <c r="U47" s="4"/>
      <c r="X47" s="5"/>
    </row>
    <row r="48" spans="1:24">
      <c r="U48" s="4"/>
      <c r="X48" s="5"/>
    </row>
    <row r="49" spans="21:24">
      <c r="U49" s="4"/>
      <c r="X49" s="5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DEL BEL SONODA</dc:creator>
  <cp:lastModifiedBy>LEONARDO DEL BEL SONODA</cp:lastModifiedBy>
  <dcterms:created xsi:type="dcterms:W3CDTF">2025-11-12T20:19:05Z</dcterms:created>
  <dcterms:modified xsi:type="dcterms:W3CDTF">2025-11-27T14:12:45Z</dcterms:modified>
</cp:coreProperties>
</file>